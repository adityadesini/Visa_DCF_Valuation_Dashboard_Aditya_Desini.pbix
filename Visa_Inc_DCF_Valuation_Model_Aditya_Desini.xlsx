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1F7CCE6-AA2F-4053-B0F3-81636349E3D7}" xr6:coauthVersionLast="47" xr6:coauthVersionMax="47" xr10:uidLastSave="{00000000-0000-0000-0000-000000000000}"/>
  <bookViews>
    <workbookView xWindow="-108" yWindow="-108" windowWidth="23256" windowHeight="12456" firstSheet="2" activeTab="6" xr2:uid="{2D2D4285-2D88-41A5-9C5B-6413D7DFEE77}"/>
  </bookViews>
  <sheets>
    <sheet name="Cover Page" sheetId="1" r:id="rId1"/>
    <sheet name="Historical Financial Data ($ in" sheetId="2" r:id="rId2"/>
    <sheet name="Ratio &amp; Trend Analysis" sheetId="3" r:id="rId3"/>
    <sheet name="Forecasting" sheetId="4" r:id="rId4"/>
    <sheet name="Output" sheetId="9" r:id="rId5"/>
    <sheet name="DCF Valuation" sheetId="5" r:id="rId6"/>
    <sheet name="Sensitivity Analysis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5" l="1"/>
  <c r="B7" i="5" s="1"/>
  <c r="C4" i="6" s="1"/>
  <c r="G9" i="4"/>
  <c r="G10" i="4" s="1"/>
  <c r="H6" i="4"/>
  <c r="I6" i="4" s="1"/>
  <c r="H5" i="4"/>
  <c r="I5" i="4" s="1"/>
  <c r="H4" i="4"/>
  <c r="I4" i="4" s="1"/>
  <c r="H3" i="4"/>
  <c r="I3" i="4" s="1"/>
  <c r="H2" i="4"/>
  <c r="I2" i="4" s="1"/>
  <c r="B3" i="4"/>
  <c r="E3" i="4" s="1"/>
  <c r="B4" i="4"/>
  <c r="E4" i="4" s="1"/>
  <c r="B5" i="4"/>
  <c r="E5" i="4" s="1"/>
  <c r="B6" i="4"/>
  <c r="F6" i="4" s="1"/>
  <c r="B2" i="4"/>
  <c r="F2" i="4" s="1"/>
  <c r="G11" i="4" l="1"/>
  <c r="F4" i="4"/>
  <c r="F5" i="4"/>
  <c r="C4" i="4"/>
  <c r="F3" i="4"/>
  <c r="C2" i="4"/>
  <c r="C6" i="4"/>
  <c r="C5" i="4"/>
  <c r="C3" i="4"/>
  <c r="E2" i="4"/>
  <c r="E6" i="4"/>
  <c r="D2" i="4" l="1"/>
  <c r="G2" i="4"/>
  <c r="D3" i="4"/>
  <c r="G3" i="4"/>
  <c r="D5" i="4"/>
  <c r="G5" i="4" s="1"/>
  <c r="D6" i="4"/>
  <c r="G6" i="4"/>
  <c r="D4" i="4"/>
  <c r="G4" i="4"/>
  <c r="G3" i="3" l="1"/>
  <c r="G4" i="3"/>
  <c r="G5" i="3"/>
  <c r="G6" i="3"/>
  <c r="G2" i="3"/>
  <c r="C6" i="3"/>
  <c r="D6" i="3"/>
  <c r="E6" i="3"/>
  <c r="F6" i="3"/>
  <c r="B6" i="3"/>
  <c r="C5" i="3"/>
  <c r="D5" i="3"/>
  <c r="E5" i="3"/>
  <c r="F5" i="3"/>
  <c r="B5" i="3"/>
  <c r="C4" i="3"/>
  <c r="D4" i="3"/>
  <c r="E4" i="3"/>
  <c r="F4" i="3"/>
  <c r="B4" i="3"/>
  <c r="C3" i="3"/>
  <c r="D3" i="3"/>
  <c r="E3" i="3"/>
  <c r="F3" i="3"/>
  <c r="B3" i="3"/>
  <c r="D2" i="3"/>
  <c r="E2" i="3"/>
  <c r="F2" i="3"/>
  <c r="C2" i="3"/>
</calcChain>
</file>

<file path=xl/sharedStrings.xml><?xml version="1.0" encoding="utf-8"?>
<sst xmlns="http://schemas.openxmlformats.org/spreadsheetml/2006/main" count="71" uniqueCount="62">
  <si>
    <t>Metric</t>
  </si>
  <si>
    <t>Revenue</t>
  </si>
  <si>
    <t>Income Tax Expense</t>
  </si>
  <si>
    <t>Net Income</t>
  </si>
  <si>
    <t>EBIT (Operating Income)</t>
  </si>
  <si>
    <t>Depreciation</t>
  </si>
  <si>
    <t>Capex</t>
  </si>
  <si>
    <t>Cash</t>
  </si>
  <si>
    <t>Debt</t>
  </si>
  <si>
    <t>Year</t>
  </si>
  <si>
    <t>Average</t>
  </si>
  <si>
    <t>Revenue Growth %</t>
  </si>
  <si>
    <t>EBIT Margin %</t>
  </si>
  <si>
    <t>Tax Rate %</t>
  </si>
  <si>
    <t>Depreciation % of Revenue</t>
  </si>
  <si>
    <t>Capex % of Revenue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</si>
  <si>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</si>
  <si>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</si>
  <si>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</si>
  <si>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</si>
  <si>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</si>
  <si>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</si>
  <si>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</si>
  <si>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</si>
  <si>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</si>
  <si>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</si>
  <si>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</si>
  <si>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</si>
  <si>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</si>
  <si>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</si>
  <si>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</si>
  <si>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</si>
  <si>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</si>
  <si>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</si>
  <si>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</si>
  <si>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</si>
  <si>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</si>
  <si>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</si>
  <si>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</si>
  <si>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</si>
  <si>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A</t>
  </si>
  <si>
    <t>B</t>
  </si>
  <si>
    <t>EBIT</t>
  </si>
  <si>
    <t>Tax</t>
  </si>
  <si>
    <t xml:space="preserve"> FCF</t>
  </si>
  <si>
    <t>WACC</t>
  </si>
  <si>
    <t>Terminal Growth</t>
  </si>
  <si>
    <t>Discount Factor</t>
  </si>
  <si>
    <t>PV of FCF</t>
  </si>
  <si>
    <t>Terminal Value</t>
  </si>
  <si>
    <t>Discount Terminal Value</t>
  </si>
  <si>
    <t>Enterprise Value</t>
  </si>
  <si>
    <t>Item</t>
  </si>
  <si>
    <t>Value</t>
  </si>
  <si>
    <t>Cash (2025)</t>
  </si>
  <si>
    <t>Debt (2025)</t>
  </si>
  <si>
    <t>Equity Value</t>
  </si>
  <si>
    <t>Shares Outstanding</t>
  </si>
  <si>
    <t>Intrinsic Value per Share</t>
  </si>
  <si>
    <t>WACC / Terminal Growth Rate</t>
  </si>
  <si>
    <t>Intrinsic Value per Share Sensitivity Analysis (USD)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</si>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</sst>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9" formatCode="0.0000"/>
    <numFmt numFmtId="182" formatCode="_-[$$-409]* #,##0_ ;_-[$$-409]* \-#,##0\ ;_-[$$-409]* &quot;-&quot;??_ ;_-@_ "/>
    <numFmt numFmtId="183" formatCode="[$$-45C]#,##0.00"/>
    <numFmt numFmtId="184" formatCode="[$$-409]#,##0.00_ ;\-[$$-409]#,##0.0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10" fontId="0" fillId="0" borderId="1" xfId="1" applyNumberFormat="1" applyFont="1" applyBorder="1" applyAlignment="1">
      <alignment horizontal="right" vertical="center" wrapText="1"/>
    </xf>
    <xf numFmtId="10" fontId="0" fillId="0" borderId="1" xfId="0" applyNumberFormat="1" applyBorder="1" applyAlignment="1">
      <alignment horizontal="right" vertical="center" wrapText="1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Continuous"/>
    </xf>
    <xf numFmtId="169" fontId="0" fillId="0" borderId="1" xfId="0" applyNumberFormat="1" applyBorder="1"/>
    <xf numFmtId="1" fontId="0" fillId="0" borderId="1" xfId="0" applyNumberFormat="1" applyBorder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right" vertical="center" wrapText="1"/>
    </xf>
    <xf numFmtId="9" fontId="0" fillId="0" borderId="1" xfId="0" applyNumberFormat="1" applyFont="1" applyBorder="1" applyAlignment="1">
      <alignment horizontal="right" vertical="center" wrapText="1"/>
    </xf>
    <xf numFmtId="0" fontId="2" fillId="0" borderId="0" xfId="0" applyFont="1"/>
    <xf numFmtId="0" fontId="2" fillId="0" borderId="1" xfId="0" applyFont="1" applyBorder="1"/>
    <xf numFmtId="0" fontId="2" fillId="0" borderId="4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2" fillId="0" borderId="1" xfId="0" applyNumberFormat="1" applyFont="1" applyBorder="1" applyAlignment="1">
      <alignment vertical="center" wrapText="1"/>
    </xf>
    <xf numFmtId="0" fontId="0" fillId="3" borderId="0" xfId="0" applyFill="1"/>
    <xf numFmtId="182" fontId="0" fillId="0" borderId="1" xfId="0" applyNumberFormat="1" applyBorder="1" applyAlignment="1">
      <alignment horizontal="right" vertical="center" wrapText="1"/>
    </xf>
    <xf numFmtId="182" fontId="0" fillId="0" borderId="1" xfId="0" applyNumberFormat="1" applyBorder="1"/>
    <xf numFmtId="182" fontId="0" fillId="0" borderId="1" xfId="0" applyNumberFormat="1" applyBorder="1" applyAlignment="1">
      <alignment vertical="center" wrapText="1"/>
    </xf>
    <xf numFmtId="183" fontId="0" fillId="0" borderId="1" xfId="0" applyNumberFormat="1" applyBorder="1"/>
    <xf numFmtId="184" fontId="0" fillId="0" borderId="1" xfId="0" applyNumberFormat="1" applyBorder="1" applyAlignment="1">
      <alignment horizontal="right" wrapText="1"/>
    </xf>
    <xf numFmtId="184" fontId="0" fillId="0" borderId="1" xfId="0" applyNumberFormat="1" applyBorder="1"/>
    <xf numFmtId="184" fontId="0" fillId="0" borderId="1" xfId="0" applyNumberFormat="1" applyBorder="1" applyAlignment="1">
      <alignment horizontal="right" vertical="center" wrapText="1"/>
    </xf>
    <xf numFmtId="183" fontId="0" fillId="0" borderId="1" xfId="0" applyNumberFormat="1" applyBorder="1" applyAlignment="1">
      <alignment horizontal="right" vertical="center" wrapText="1"/>
    </xf>
    <xf numFmtId="183" fontId="0" fillId="0" borderId="1" xfId="0" applyNumberFormat="1" applyBorder="1" applyAlignment="1">
      <alignment vertical="center" wrapText="1"/>
    </xf>
    <xf numFmtId="183" fontId="2" fillId="2" borderId="1" xfId="0" applyNumberFormat="1" applyFont="1" applyFill="1" applyBorder="1" applyAlignment="1">
      <alignment horizontal="right" vertical="center" wrapText="1"/>
    </xf>
    <xf numFmtId="0" fontId="0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20594</xdr:rowOff>
    </xdr:from>
    <xdr:to>
      <xdr:col>30</xdr:col>
      <xdr:colOff>1</xdr:colOff>
      <xdr:row>76</xdr:row>
      <xdr:rowOff>137365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E7D986-93A6-2D5F-0EED-B08D3D59A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94"/>
          <a:ext cx="18535136" cy="14203474"/>
        </a:xfrm>
        <a:prstGeom prst="rect">
          <a:avLst/>
        </a:prstGeom>
        <a:solidFill>
          <a:schemeClr val="tx1"/>
        </a:solidFill>
        <a:ln>
          <a:noFill/>
        </a:ln>
        <a:effectLst/>
      </xdr:spPr>
    </xdr:pic>
    <xdr:clientData/>
  </xdr:twoCellAnchor>
  <xdr:oneCellAnchor>
    <xdr:from>
      <xdr:col>29</xdr:col>
      <xdr:colOff>494270</xdr:colOff>
      <xdr:row>0</xdr:row>
      <xdr:rowOff>0</xdr:rowOff>
    </xdr:from>
    <xdr:ext cx="21459568" cy="1421027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A9D29C8-D5A4-DA9D-10B3-11E87FD31AC0}"/>
            </a:ext>
          </a:extLst>
        </xdr:cNvPr>
        <xdr:cNvSpPr txBox="1"/>
      </xdr:nvSpPr>
      <xdr:spPr>
        <a:xfrm>
          <a:off x="18411567" y="0"/>
          <a:ext cx="21459568" cy="1421027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br>
            <a:rPr lang="en-IN" sz="3200">
              <a:solidFill>
                <a:schemeClr val="bg1"/>
              </a:solidFill>
            </a:rPr>
          </a:br>
          <a:endParaRPr lang="en-IN" sz="3200">
            <a:solidFill>
              <a:schemeClr val="bg1"/>
            </a:solidFill>
          </a:endParaRPr>
        </a:p>
        <a:p>
          <a:endParaRPr lang="en-IN" sz="3200" b="1">
            <a:solidFill>
              <a:schemeClr val="bg1"/>
            </a:solidFill>
          </a:endParaRPr>
        </a:p>
        <a:p>
          <a:endParaRPr lang="en-IN" sz="3200" b="1">
            <a:solidFill>
              <a:schemeClr val="bg1"/>
            </a:solidFill>
          </a:endParaRPr>
        </a:p>
        <a:p>
          <a:endParaRPr lang="en-IN" sz="3200" b="1">
            <a:solidFill>
              <a:schemeClr val="bg1"/>
            </a:solidFill>
          </a:endParaRPr>
        </a:p>
        <a:p>
          <a:r>
            <a:rPr lang="en-IN" sz="3200" b="1">
              <a:solidFill>
                <a:schemeClr val="bg1"/>
              </a:solidFill>
            </a:rPr>
            <a:t>Prepared By</a:t>
          </a:r>
          <a:r>
            <a:rPr lang="en-IN" sz="3200" b="1" baseline="0">
              <a:solidFill>
                <a:schemeClr val="bg1"/>
              </a:solidFill>
            </a:rPr>
            <a:t> :</a:t>
          </a:r>
        </a:p>
        <a:p>
          <a:r>
            <a:rPr lang="en-IN" sz="3200" b="1">
              <a:solidFill>
                <a:schemeClr val="bg1"/>
              </a:solidFill>
            </a:rPr>
            <a:t>Aditya Desini</a:t>
          </a:r>
        </a:p>
        <a:p>
          <a:br>
            <a:rPr lang="en-IN" sz="3200">
              <a:solidFill>
                <a:schemeClr val="bg1"/>
              </a:solidFill>
            </a:rPr>
          </a:br>
          <a:r>
            <a:rPr lang="en-IN" sz="3200" b="1">
              <a:solidFill>
                <a:schemeClr val="bg1"/>
              </a:solidFill>
            </a:rPr>
            <a:t>Skills Used:</a:t>
          </a:r>
        </a:p>
        <a:p>
          <a:r>
            <a:rPr lang="en-IN" sz="3200" b="1">
              <a:solidFill>
                <a:schemeClr val="bg1"/>
              </a:solidFill>
            </a:rPr>
            <a:t>Excel • Financial Modeling • DCF Valuation • Regression Analysis • Sensitivity Analysis • Power BI</a:t>
          </a:r>
        </a:p>
        <a:p>
          <a:endParaRPr lang="en-IN" sz="3200">
            <a:solidFill>
              <a:schemeClr val="bg1"/>
            </a:solidFill>
          </a:endParaRPr>
        </a:p>
        <a:p>
          <a:r>
            <a:rPr lang="en-IN" sz="3200" b="1">
              <a:solidFill>
                <a:schemeClr val="bg1"/>
              </a:solidFill>
            </a:rPr>
            <a:t>Company:</a:t>
          </a:r>
          <a:r>
            <a:rPr lang="en-IN" sz="3200" b="1" baseline="0">
              <a:solidFill>
                <a:schemeClr val="bg1"/>
              </a:solidFill>
            </a:rPr>
            <a:t> </a:t>
          </a:r>
          <a:r>
            <a:rPr lang="en-IN" sz="3200" b="1">
              <a:solidFill>
                <a:schemeClr val="bg1"/>
              </a:solidFill>
            </a:rPr>
            <a:t>Visa Inc. (NYSE: V)</a:t>
          </a:r>
        </a:p>
        <a:p>
          <a:endParaRPr lang="en-IN" sz="3200">
            <a:solidFill>
              <a:schemeClr val="bg1"/>
            </a:solidFill>
          </a:endParaRPr>
        </a:p>
        <a:p>
          <a:r>
            <a:rPr lang="en-IN" sz="3200" b="1">
              <a:solidFill>
                <a:schemeClr val="bg1"/>
              </a:solidFill>
            </a:rPr>
            <a:t>Period Analyzed:</a:t>
          </a:r>
        </a:p>
        <a:p>
          <a:r>
            <a:rPr lang="en-IN" sz="3200" b="1">
              <a:solidFill>
                <a:schemeClr val="bg1"/>
              </a:solidFill>
            </a:rPr>
            <a:t>FY 2021 – FY 2025 Historical Analysis</a:t>
          </a:r>
          <a:br>
            <a:rPr lang="en-IN" sz="3200">
              <a:solidFill>
                <a:schemeClr val="bg1"/>
              </a:solidFill>
            </a:rPr>
          </a:br>
          <a:r>
            <a:rPr lang="en-IN" sz="3200" b="1">
              <a:solidFill>
                <a:schemeClr val="bg1"/>
              </a:solidFill>
            </a:rPr>
            <a:t>FY 2026 – FY 2030 Forecast Period</a:t>
          </a:r>
          <a:endParaRPr lang="en-IN" sz="3200">
            <a:solidFill>
              <a:schemeClr val="bg1"/>
            </a:solidFill>
          </a:endParaRPr>
        </a:p>
        <a:p>
          <a:br>
            <a:rPr lang="en-IN" sz="3200">
              <a:solidFill>
                <a:schemeClr val="bg1"/>
              </a:solidFill>
            </a:rPr>
          </a:br>
          <a:endParaRPr lang="en-IN" sz="3200">
            <a:solidFill>
              <a:schemeClr val="bg1"/>
            </a:solidFill>
          </a:endParaRPr>
        </a:p>
        <a:p>
          <a:r>
            <a:rPr lang="en-IN" sz="3200" i="1">
              <a:solidFill>
                <a:schemeClr val="bg1"/>
              </a:solidFill>
            </a:rPr>
            <a:t>“This project estimates the intrinsic value of Visa Inc. using a Discounted Cash Flow (DCF) valuation model and sensitivity analysis.”</a:t>
          </a:r>
          <a:endParaRPr lang="en-IN" sz="3200">
            <a:solidFill>
              <a:schemeClr val="bg1"/>
            </a:solidFill>
          </a:endParaRPr>
        </a:p>
        <a:p>
          <a:endParaRPr lang="en-IN" sz="1100">
            <a:solidFill>
              <a:schemeClr val="tx1"/>
            </a:solidFill>
          </a:endParaRPr>
        </a:p>
      </xdr:txBody>
    </xdr:sp>
    <xdr:clientData/>
  </xdr:oneCellAnchor>
  <xdr:twoCellAnchor editAs="oneCell">
    <xdr:from>
      <xdr:col>0</xdr:col>
      <xdr:colOff>0</xdr:colOff>
      <xdr:row>0</xdr:row>
      <xdr:rowOff>0</xdr:rowOff>
    </xdr:from>
    <xdr:to>
      <xdr:col>61</xdr:col>
      <xdr:colOff>473676</xdr:colOff>
      <xdr:row>12</xdr:row>
      <xdr:rowOff>102973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0BF243-3744-1557-5605-B2177025A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8161784" cy="23271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101273</xdr:rowOff>
    </xdr:from>
    <xdr:ext cx="5497284" cy="122833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E753125-8EB4-9A2C-8928-F72CF986A1BE}"/>
            </a:ext>
          </a:extLst>
        </xdr:cNvPr>
        <xdr:cNvSpPr txBox="1"/>
      </xdr:nvSpPr>
      <xdr:spPr>
        <a:xfrm rot="10800000" flipV="1">
          <a:off x="0" y="1578620"/>
          <a:ext cx="5497284" cy="12283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b="1"/>
            <a:t>Interpretation section:</a:t>
          </a:r>
        </a:p>
        <a:p>
          <a:r>
            <a:rPr lang="en-IN"/>
            <a:t>“The sensitivity analysis demonstrates how Visa Inc.’s intrinsic value changes based on different assumptions for WACC and terminal growth rate. Under the base case assumption (9% WACC and 3% terminal growth), the estimated intrinsic value is approximately </a:t>
          </a:r>
          <a:r>
            <a:rPr lang="en-IN" b="1"/>
            <a:t>$261 per share</a:t>
          </a:r>
          <a:r>
            <a:rPr lang="en-IN"/>
            <a:t>. Lower discount rates and higher terminal growth assumptions increase valuation, while higher discount rates reduce estimated value.”</a:t>
          </a:r>
        </a:p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CF89-7608-4C16-9D16-B1ED188A0E72}">
  <sheetPr>
    <tabColor rgb="FF00B0F0"/>
  </sheetPr>
  <dimension ref="A1"/>
  <sheetViews>
    <sheetView showGridLines="0" topLeftCell="BI1" zoomScale="37" zoomScaleNormal="40" workbookViewId="0">
      <selection activeCell="Y1" sqref="Y1:Y1048576"/>
    </sheetView>
  </sheetViews>
  <sheetFormatPr defaultRowHeight="14.4" x14ac:dyDescent="0.3"/>
  <cols>
    <col min="1" max="16" width="8.88671875" style="27"/>
    <col min="17" max="17" width="8.88671875" style="27" customWidth="1"/>
    <col min="18" max="16384" width="8.88671875" style="27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0A458-E35D-4C88-985F-E0F824A172D5}">
  <sheetPr>
    <tabColor rgb="FFFF0000"/>
  </sheetPr>
  <dimension ref="A1:F24"/>
  <sheetViews>
    <sheetView showGridLines="0" workbookViewId="0">
      <selection activeCell="D9" sqref="D9"/>
    </sheetView>
  </sheetViews>
  <sheetFormatPr defaultColWidth="11" defaultRowHeight="14.4" x14ac:dyDescent="0.3"/>
  <cols>
    <col min="1" max="1" width="27.6640625" customWidth="1"/>
  </cols>
  <sheetData>
    <row r="1" spans="1:6" x14ac:dyDescent="0.3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</row>
    <row r="2" spans="1:6" x14ac:dyDescent="0.3">
      <c r="A2" s="3" t="s">
        <v>1</v>
      </c>
      <c r="B2" s="28">
        <v>24105</v>
      </c>
      <c r="C2" s="28">
        <v>29310</v>
      </c>
      <c r="D2" s="28">
        <v>32653</v>
      </c>
      <c r="E2" s="28">
        <v>35926</v>
      </c>
      <c r="F2" s="28">
        <v>40000</v>
      </c>
    </row>
    <row r="3" spans="1:6" ht="43.2" x14ac:dyDescent="0.3">
      <c r="A3" s="3" t="s">
        <v>4</v>
      </c>
      <c r="B3" s="28">
        <v>15804</v>
      </c>
      <c r="C3" s="28">
        <v>18813</v>
      </c>
      <c r="D3" s="28">
        <v>21000</v>
      </c>
      <c r="E3" s="28">
        <v>23595</v>
      </c>
      <c r="F3" s="28">
        <v>23994</v>
      </c>
    </row>
    <row r="4" spans="1:6" ht="28.8" x14ac:dyDescent="0.3">
      <c r="A4" s="3" t="s">
        <v>2</v>
      </c>
      <c r="B4" s="28">
        <v>3752</v>
      </c>
      <c r="C4" s="28">
        <v>2924</v>
      </c>
      <c r="D4" s="28">
        <v>3764</v>
      </c>
      <c r="E4" s="28">
        <v>4173</v>
      </c>
      <c r="F4" s="28">
        <v>4136</v>
      </c>
    </row>
    <row r="5" spans="1:6" x14ac:dyDescent="0.3">
      <c r="A5" s="3" t="s">
        <v>3</v>
      </c>
      <c r="B5" s="28">
        <v>12311</v>
      </c>
      <c r="C5" s="28">
        <v>14957</v>
      </c>
      <c r="D5" s="28">
        <v>17273</v>
      </c>
      <c r="E5" s="28">
        <v>19743</v>
      </c>
      <c r="F5" s="28">
        <v>20058</v>
      </c>
    </row>
    <row r="6" spans="1:6" x14ac:dyDescent="0.3">
      <c r="A6" s="3" t="s">
        <v>5</v>
      </c>
      <c r="B6" s="28">
        <v>804</v>
      </c>
      <c r="C6" s="29">
        <v>861</v>
      </c>
      <c r="D6" s="29">
        <v>943</v>
      </c>
      <c r="E6" s="29">
        <v>1034</v>
      </c>
      <c r="F6" s="29">
        <v>1220</v>
      </c>
    </row>
    <row r="7" spans="1:6" x14ac:dyDescent="0.3">
      <c r="A7" s="3" t="s">
        <v>6</v>
      </c>
      <c r="B7" s="28">
        <v>705</v>
      </c>
      <c r="C7" s="28">
        <v>970</v>
      </c>
      <c r="D7" s="29">
        <v>1059</v>
      </c>
      <c r="E7" s="29">
        <v>1257</v>
      </c>
      <c r="F7" s="29">
        <v>1482</v>
      </c>
    </row>
    <row r="8" spans="1:6" x14ac:dyDescent="0.3">
      <c r="A8" s="3" t="s">
        <v>7</v>
      </c>
      <c r="B8" s="29">
        <v>19799</v>
      </c>
      <c r="C8" s="29">
        <v>20377</v>
      </c>
      <c r="D8" s="29">
        <v>21990</v>
      </c>
      <c r="E8" s="29">
        <v>19763</v>
      </c>
      <c r="F8" s="29">
        <v>24987</v>
      </c>
    </row>
    <row r="9" spans="1:6" x14ac:dyDescent="0.3">
      <c r="A9" s="3" t="s">
        <v>8</v>
      </c>
      <c r="B9" s="29">
        <v>20977</v>
      </c>
      <c r="C9" s="29">
        <v>22450</v>
      </c>
      <c r="D9" s="29">
        <v>22214</v>
      </c>
      <c r="E9" s="29">
        <v>22563</v>
      </c>
      <c r="F9" s="30">
        <v>22635</v>
      </c>
    </row>
    <row r="24" spans="4:4" x14ac:dyDescent="0.3">
      <c r="D24" s="3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D7BD-EC7B-4E03-B7E7-EF291F0CAF99}">
  <sheetPr>
    <tabColor rgb="FFFFC000"/>
  </sheetPr>
  <dimension ref="A1:J7"/>
  <sheetViews>
    <sheetView showGridLines="0" workbookViewId="0">
      <selection activeCell="I15" sqref="I15"/>
    </sheetView>
  </sheetViews>
  <sheetFormatPr defaultRowHeight="14.4" x14ac:dyDescent="0.3"/>
  <cols>
    <col min="2" max="2" width="11.5546875" bestFit="1" customWidth="1"/>
    <col min="6" max="6" width="11.5546875" bestFit="1" customWidth="1"/>
    <col min="7" max="7" width="18.6640625" customWidth="1"/>
  </cols>
  <sheetData>
    <row r="1" spans="1:10" x14ac:dyDescent="0.3">
      <c r="A1" s="1" t="s">
        <v>9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 t="s">
        <v>10</v>
      </c>
    </row>
    <row r="2" spans="1:10" ht="43.2" x14ac:dyDescent="0.3">
      <c r="A2" s="3" t="s">
        <v>11</v>
      </c>
      <c r="B2" s="5"/>
      <c r="C2" s="5">
        <f>('Historical Financial Data ($ in'!C2-'Historical Financial Data ($ in'!B2)/'Historical Financial Data ($ in'!B2</f>
        <v>0.21593030491599252</v>
      </c>
      <c r="D2" s="5">
        <f>('Historical Financial Data ($ in'!D2-'Historical Financial Data ($ in'!C2)/'Historical Financial Data ($ in'!C2</f>
        <v>0.11405663596042306</v>
      </c>
      <c r="E2" s="5">
        <f>('Historical Financial Data ($ in'!E2-'Historical Financial Data ($ in'!D2)/'Historical Financial Data ($ in'!D2</f>
        <v>0.10023581294214927</v>
      </c>
      <c r="F2" s="5">
        <f>('Historical Financial Data ($ in'!F2-'Historical Financial Data ($ in'!E2)/'Historical Financial Data ($ in'!E2</f>
        <v>0.11339976618604911</v>
      </c>
      <c r="G2" s="6">
        <f>AVERAGE(B2:F2)</f>
        <v>0.13590563000115349</v>
      </c>
    </row>
    <row r="3" spans="1:10" ht="28.8" x14ac:dyDescent="0.3">
      <c r="A3" s="3" t="s">
        <v>12</v>
      </c>
      <c r="B3" s="5">
        <f>'Historical Financial Data ($ in'!B3/'Historical Financial Data ($ in'!B2</f>
        <v>0.65563161169881767</v>
      </c>
      <c r="C3" s="5">
        <f>'Historical Financial Data ($ in'!C3/'Historical Financial Data ($ in'!C2</f>
        <v>0.64186284544524053</v>
      </c>
      <c r="D3" s="5">
        <f>'Historical Financial Data ($ in'!D3/'Historical Financial Data ($ in'!D2</f>
        <v>0.64312620586163594</v>
      </c>
      <c r="E3" s="5">
        <f>'Historical Financial Data ($ in'!E3/'Historical Financial Data ($ in'!E2</f>
        <v>0.65676668707899566</v>
      </c>
      <c r="F3" s="5">
        <f>'Historical Financial Data ($ in'!F3/'Historical Financial Data ($ in'!F2</f>
        <v>0.59984999999999999</v>
      </c>
      <c r="G3" s="6">
        <f t="shared" ref="G3:G6" si="0">AVERAGE(B3:F3)</f>
        <v>0.63944747001693791</v>
      </c>
    </row>
    <row r="4" spans="1:10" ht="28.8" x14ac:dyDescent="0.3">
      <c r="A4" s="3" t="s">
        <v>13</v>
      </c>
      <c r="B4" s="5">
        <f>'Historical Financial Data ($ in'!B4/'Historical Financial Data ($ in'!B3</f>
        <v>0.23740825107567703</v>
      </c>
      <c r="C4" s="5">
        <f>'Historical Financial Data ($ in'!C4/'Historical Financial Data ($ in'!C3</f>
        <v>0.15542444054643065</v>
      </c>
      <c r="D4" s="5">
        <f>'Historical Financial Data ($ in'!D4/'Historical Financial Data ($ in'!D3</f>
        <v>0.17923809523809525</v>
      </c>
      <c r="E4" s="5">
        <f>'Historical Financial Data ($ in'!E4/'Historical Financial Data ($ in'!E3</f>
        <v>0.17685950413223139</v>
      </c>
      <c r="F4" s="5">
        <f>'Historical Financial Data ($ in'!F4/'Historical Financial Data ($ in'!F3</f>
        <v>0.17237642744019338</v>
      </c>
      <c r="G4" s="6">
        <f t="shared" si="0"/>
        <v>0.18426134368652552</v>
      </c>
    </row>
    <row r="5" spans="1:10" ht="43.2" x14ac:dyDescent="0.3">
      <c r="A5" s="3" t="s">
        <v>14</v>
      </c>
      <c r="B5" s="5">
        <f>'Historical Financial Data ($ in'!B6/'Historical Financial Data ($ in'!B2</f>
        <v>3.3354075917859362E-2</v>
      </c>
      <c r="C5" s="5">
        <f>'Historical Financial Data ($ in'!C6/'Historical Financial Data ($ in'!C2</f>
        <v>2.9375639713408393E-2</v>
      </c>
      <c r="D5" s="5">
        <f>'Historical Financial Data ($ in'!D6/'Historical Financial Data ($ in'!D2</f>
        <v>2.8879429148929655E-2</v>
      </c>
      <c r="E5" s="5">
        <f>'Historical Financial Data ($ in'!E6/'Historical Financial Data ($ in'!E2</f>
        <v>2.878138395590937E-2</v>
      </c>
      <c r="F5" s="5">
        <f>'Historical Financial Data ($ in'!F6/'Historical Financial Data ($ in'!F2</f>
        <v>3.0499999999999999E-2</v>
      </c>
      <c r="G5" s="6">
        <f t="shared" si="0"/>
        <v>3.0178105747221358E-2</v>
      </c>
    </row>
    <row r="6" spans="1:10" ht="43.2" x14ac:dyDescent="0.3">
      <c r="A6" s="3" t="s">
        <v>15</v>
      </c>
      <c r="B6" s="5">
        <f>'Historical Financial Data ($ in'!B7/'Historical Financial Data ($ in'!B2</f>
        <v>2.924704418170504E-2</v>
      </c>
      <c r="C6" s="5">
        <f>'Historical Financial Data ($ in'!C7/'Historical Financial Data ($ in'!C2</f>
        <v>3.3094506994199933E-2</v>
      </c>
      <c r="D6" s="5">
        <f>'Historical Financial Data ($ in'!D7/'Historical Financial Data ($ in'!D2</f>
        <v>3.2431935809879645E-2</v>
      </c>
      <c r="E6" s="5">
        <f>'Historical Financial Data ($ in'!E7/'Historical Financial Data ($ in'!E2</f>
        <v>3.498858765239659E-2</v>
      </c>
      <c r="F6" s="5">
        <f>'Historical Financial Data ($ in'!F7/'Historical Financial Data ($ in'!F2</f>
        <v>3.705E-2</v>
      </c>
      <c r="G6" s="6">
        <f t="shared" si="0"/>
        <v>3.3362414927636239E-2</v>
      </c>
    </row>
    <row r="7" spans="1:10" x14ac:dyDescent="0.3">
      <c r="J7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2AAB7-6B5C-4FC8-8CBA-74668B021C78}">
  <sheetPr>
    <tabColor theme="3"/>
  </sheetPr>
  <dimension ref="A1:K21"/>
  <sheetViews>
    <sheetView showGridLines="0" zoomScale="125" workbookViewId="0">
      <selection activeCell="F19" sqref="F19"/>
    </sheetView>
  </sheetViews>
  <sheetFormatPr defaultColWidth="12.33203125" defaultRowHeight="14.4" x14ac:dyDescent="0.3"/>
  <cols>
    <col min="6" max="6" width="21.44140625" customWidth="1"/>
    <col min="7" max="7" width="14.21875" bestFit="1" customWidth="1"/>
    <col min="8" max="8" width="13.77734375" customWidth="1"/>
    <col min="9" max="9" width="17.44140625" bestFit="1" customWidth="1"/>
  </cols>
  <sheetData>
    <row r="1" spans="1:11" x14ac:dyDescent="0.3">
      <c r="A1" s="1" t="s">
        <v>9</v>
      </c>
      <c r="B1" s="1" t="s">
        <v>1</v>
      </c>
      <c r="C1" s="1" t="s">
        <v>42</v>
      </c>
      <c r="D1" s="1" t="s">
        <v>43</v>
      </c>
      <c r="E1" s="13" t="s">
        <v>5</v>
      </c>
      <c r="F1" s="13" t="s">
        <v>6</v>
      </c>
      <c r="G1" s="14" t="s">
        <v>44</v>
      </c>
      <c r="H1" s="18" t="s">
        <v>47</v>
      </c>
      <c r="I1" s="18" t="s">
        <v>48</v>
      </c>
      <c r="J1" s="19" t="s">
        <v>45</v>
      </c>
      <c r="K1" s="16">
        <v>0.09</v>
      </c>
    </row>
    <row r="2" spans="1:11" ht="28.8" x14ac:dyDescent="0.3">
      <c r="A2" s="20">
        <v>2026</v>
      </c>
      <c r="B2" s="32">
        <f>(3840.6*A2)-7737135</f>
        <v>43920.599999999627</v>
      </c>
      <c r="C2" s="32">
        <f>B2*63.94%</f>
        <v>28082.83163999976</v>
      </c>
      <c r="D2" s="32">
        <f>C2*18.43%</f>
        <v>5175.6658712519557</v>
      </c>
      <c r="E2" s="33">
        <f>B2*3.02%</f>
        <v>1326.4021199999888</v>
      </c>
      <c r="F2" s="33">
        <f>B2*3.34%</f>
        <v>1466.9480399999875</v>
      </c>
      <c r="G2" s="33">
        <f>(C2-D2)+E2-F2</f>
        <v>22766.619848747803</v>
      </c>
      <c r="H2" s="33">
        <f>1/(1+$K$1)^1</f>
        <v>0.9174311926605504</v>
      </c>
      <c r="I2" s="11">
        <f>G2*H2</f>
        <v>20886.807200686057</v>
      </c>
      <c r="J2" s="19" t="s">
        <v>46</v>
      </c>
      <c r="K2" s="16">
        <v>0.03</v>
      </c>
    </row>
    <row r="3" spans="1:11" x14ac:dyDescent="0.3">
      <c r="A3" s="3">
        <v>2027</v>
      </c>
      <c r="B3" s="34">
        <f t="shared" ref="B3:B6" si="0">(3840.6*A3)-7737135</f>
        <v>47761.200000000186</v>
      </c>
      <c r="C3" s="34">
        <f t="shared" ref="C3:C6" si="1">B3*63.94%</f>
        <v>30538.511280000119</v>
      </c>
      <c r="D3" s="34">
        <f t="shared" ref="D3:D6" si="2">C3*18.43%</f>
        <v>5628.2476289040214</v>
      </c>
      <c r="E3" s="33">
        <f t="shared" ref="E3:E6" si="3">B3*3.02%</f>
        <v>1442.3882400000057</v>
      </c>
      <c r="F3" s="33">
        <f t="shared" ref="F3:F6" si="4">B3*3.34%</f>
        <v>1595.2240800000061</v>
      </c>
      <c r="G3" s="33">
        <f t="shared" ref="G3:G6" si="5">(C3-D3)+E3-F3</f>
        <v>24757.427811096095</v>
      </c>
      <c r="H3" s="33">
        <f>1/(1+$K$1)^2</f>
        <v>0.84167999326655996</v>
      </c>
      <c r="I3" s="11">
        <f t="shared" ref="I3:I6" si="6">G3*H3</f>
        <v>20837.831673340705</v>
      </c>
    </row>
    <row r="4" spans="1:11" x14ac:dyDescent="0.3">
      <c r="A4" s="3">
        <v>2028</v>
      </c>
      <c r="B4" s="34">
        <f t="shared" si="0"/>
        <v>51601.799999999814</v>
      </c>
      <c r="C4" s="34">
        <f t="shared" si="1"/>
        <v>32994.190919999877</v>
      </c>
      <c r="D4" s="34">
        <f t="shared" si="2"/>
        <v>6080.8293865559772</v>
      </c>
      <c r="E4" s="33">
        <f t="shared" si="3"/>
        <v>1558.3743599999943</v>
      </c>
      <c r="F4" s="33">
        <f t="shared" si="4"/>
        <v>1723.5001199999938</v>
      </c>
      <c r="G4" s="33">
        <f t="shared" si="5"/>
        <v>26748.235773443903</v>
      </c>
      <c r="H4" s="33">
        <f>1/(1+$K$1)^3</f>
        <v>0.77218348006106419</v>
      </c>
      <c r="I4" s="11">
        <f t="shared" si="6"/>
        <v>20654.545785031765</v>
      </c>
    </row>
    <row r="5" spans="1:11" x14ac:dyDescent="0.3">
      <c r="A5" s="3">
        <v>2029</v>
      </c>
      <c r="B5" s="34">
        <f t="shared" si="0"/>
        <v>55442.399999999441</v>
      </c>
      <c r="C5" s="34">
        <f t="shared" si="1"/>
        <v>35449.870559999639</v>
      </c>
      <c r="D5" s="34">
        <f t="shared" si="2"/>
        <v>6533.4111442079329</v>
      </c>
      <c r="E5" s="33">
        <f t="shared" si="3"/>
        <v>1674.3604799999832</v>
      </c>
      <c r="F5" s="33">
        <f t="shared" si="4"/>
        <v>1851.7761599999812</v>
      </c>
      <c r="G5" s="33">
        <f t="shared" si="5"/>
        <v>28739.043735791711</v>
      </c>
      <c r="H5" s="33">
        <f>1/(1+$K$1)^4</f>
        <v>0.7084252110651964</v>
      </c>
      <c r="I5" s="11">
        <f t="shared" si="6"/>
        <v>20359.463124340153</v>
      </c>
    </row>
    <row r="6" spans="1:11" x14ac:dyDescent="0.3">
      <c r="A6" s="3">
        <v>2030</v>
      </c>
      <c r="B6" s="34">
        <f t="shared" si="0"/>
        <v>59283</v>
      </c>
      <c r="C6" s="34">
        <f t="shared" si="1"/>
        <v>37905.550199999998</v>
      </c>
      <c r="D6" s="34">
        <f t="shared" si="2"/>
        <v>6985.9929018599996</v>
      </c>
      <c r="E6" s="33">
        <f t="shared" si="3"/>
        <v>1790.3466000000001</v>
      </c>
      <c r="F6" s="33">
        <f t="shared" si="4"/>
        <v>1980.0521999999999</v>
      </c>
      <c r="G6" s="33">
        <f t="shared" si="5"/>
        <v>30729.851698139999</v>
      </c>
      <c r="H6" s="33">
        <f>1/(1+$K$1)^5</f>
        <v>0.64993138629834524</v>
      </c>
      <c r="I6" s="11">
        <f t="shared" si="6"/>
        <v>19972.295114914687</v>
      </c>
    </row>
    <row r="9" spans="1:11" x14ac:dyDescent="0.3">
      <c r="F9" s="18" t="s">
        <v>49</v>
      </c>
      <c r="G9" s="31">
        <f>(G6*(1+$K$2))/($K$1-$K$2)</f>
        <v>527529.12081807002</v>
      </c>
    </row>
    <row r="10" spans="1:11" x14ac:dyDescent="0.3">
      <c r="F10" s="18" t="s">
        <v>50</v>
      </c>
      <c r="G10" s="31">
        <f>G9/(1+$K$1)^5</f>
        <v>342857.73280603555</v>
      </c>
    </row>
    <row r="11" spans="1:11" x14ac:dyDescent="0.3">
      <c r="F11" s="18" t="s">
        <v>51</v>
      </c>
      <c r="G11" s="31">
        <f>SUM(I2:I6)+G10</f>
        <v>445568.67570434889</v>
      </c>
    </row>
    <row r="15" spans="1:11" x14ac:dyDescent="0.3">
      <c r="A15" s="1" t="s">
        <v>40</v>
      </c>
      <c r="B15" s="2" t="s">
        <v>41</v>
      </c>
    </row>
    <row r="16" spans="1:11" x14ac:dyDescent="0.3">
      <c r="A16" s="3" t="s">
        <v>9</v>
      </c>
      <c r="B16" s="4" t="s">
        <v>1</v>
      </c>
    </row>
    <row r="17" spans="1:2" x14ac:dyDescent="0.3">
      <c r="A17" s="3">
        <v>2021</v>
      </c>
      <c r="B17" s="4">
        <v>24105</v>
      </c>
    </row>
    <row r="18" spans="1:2" x14ac:dyDescent="0.3">
      <c r="A18" s="3">
        <v>2022</v>
      </c>
      <c r="B18" s="4">
        <v>29310</v>
      </c>
    </row>
    <row r="19" spans="1:2" x14ac:dyDescent="0.3">
      <c r="A19" s="3">
        <v>2023</v>
      </c>
      <c r="B19" s="4">
        <v>32653</v>
      </c>
    </row>
    <row r="20" spans="1:2" x14ac:dyDescent="0.3">
      <c r="A20" s="3">
        <v>2024</v>
      </c>
      <c r="B20" s="4">
        <v>35926</v>
      </c>
    </row>
    <row r="21" spans="1:2" x14ac:dyDescent="0.3">
      <c r="A21" s="3">
        <v>2025</v>
      </c>
      <c r="B21" s="4">
        <v>40000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BDC2B-27F7-4507-9E9B-BC6970861766}">
  <sheetPr>
    <tabColor theme="5" tint="-0.249977111117893"/>
  </sheetPr>
  <dimension ref="A1:I22"/>
  <sheetViews>
    <sheetView showGridLines="0" workbookViewId="0">
      <selection activeCell="H22" sqref="H22"/>
    </sheetView>
  </sheetViews>
  <sheetFormatPr defaultRowHeight="14.4" x14ac:dyDescent="0.3"/>
  <cols>
    <col min="1" max="1" width="17.44140625" bestFit="1" customWidth="1"/>
    <col min="2" max="2" width="12" bestFit="1" customWidth="1"/>
    <col min="3" max="3" width="13.44140625" bestFit="1" customWidth="1"/>
    <col min="4" max="4" width="12.6640625" bestFit="1" customWidth="1"/>
    <col min="5" max="5" width="12" bestFit="1" customWidth="1"/>
    <col min="6" max="9" width="12.6640625" bestFit="1" customWidth="1"/>
  </cols>
  <sheetData>
    <row r="1" spans="1:9" x14ac:dyDescent="0.3">
      <c r="A1" t="s">
        <v>16</v>
      </c>
    </row>
    <row r="2" spans="1:9" ht="15" thickBot="1" x14ac:dyDescent="0.35"/>
    <row r="3" spans="1:9" x14ac:dyDescent="0.3">
      <c r="A3" s="10" t="s">
        <v>17</v>
      </c>
      <c r="B3" s="10"/>
    </row>
    <row r="4" spans="1:9" x14ac:dyDescent="0.3">
      <c r="A4" s="7" t="s">
        <v>18</v>
      </c>
      <c r="B4" s="7">
        <v>0.99625938659165691</v>
      </c>
    </row>
    <row r="5" spans="1:9" x14ac:dyDescent="0.3">
      <c r="A5" s="7" t="s">
        <v>19</v>
      </c>
      <c r="B5" s="7">
        <v>0.99253276537198443</v>
      </c>
    </row>
    <row r="6" spans="1:9" x14ac:dyDescent="0.3">
      <c r="A6" s="7" t="s">
        <v>20</v>
      </c>
      <c r="B6" s="7">
        <v>0.9900436871626459</v>
      </c>
    </row>
    <row r="7" spans="1:9" x14ac:dyDescent="0.3">
      <c r="A7" s="7" t="s">
        <v>21</v>
      </c>
      <c r="B7" s="7">
        <v>608.19930943729275</v>
      </c>
    </row>
    <row r="8" spans="1:9" ht="15" thickBot="1" x14ac:dyDescent="0.35">
      <c r="A8" s="8" t="s">
        <v>22</v>
      </c>
      <c r="B8" s="8">
        <v>5</v>
      </c>
    </row>
    <row r="10" spans="1:9" ht="15" thickBot="1" x14ac:dyDescent="0.35">
      <c r="A10" t="s">
        <v>23</v>
      </c>
    </row>
    <row r="11" spans="1:9" x14ac:dyDescent="0.3">
      <c r="A11" s="9"/>
      <c r="B11" s="9" t="s">
        <v>28</v>
      </c>
      <c r="C11" s="9" t="s">
        <v>29</v>
      </c>
      <c r="D11" s="9" t="s">
        <v>30</v>
      </c>
      <c r="E11" s="9" t="s">
        <v>31</v>
      </c>
      <c r="F11" s="9" t="s">
        <v>32</v>
      </c>
    </row>
    <row r="12" spans="1:9" x14ac:dyDescent="0.3">
      <c r="A12" s="7" t="s">
        <v>24</v>
      </c>
      <c r="B12" s="7">
        <v>1</v>
      </c>
      <c r="C12" s="7">
        <v>147502083.60000002</v>
      </c>
      <c r="D12" s="7">
        <v>147502083.60000002</v>
      </c>
      <c r="E12" s="7">
        <v>398.75515427686605</v>
      </c>
      <c r="F12" s="7">
        <v>2.7447593158313614E-4</v>
      </c>
    </row>
    <row r="13" spans="1:9" x14ac:dyDescent="0.3">
      <c r="A13" s="7" t="s">
        <v>25</v>
      </c>
      <c r="B13" s="7">
        <v>3</v>
      </c>
      <c r="C13" s="7">
        <v>1109719.1999999993</v>
      </c>
      <c r="D13" s="7">
        <v>369906.39999999973</v>
      </c>
      <c r="E13" s="7"/>
      <c r="F13" s="7"/>
    </row>
    <row r="14" spans="1:9" ht="15" thickBot="1" x14ac:dyDescent="0.35">
      <c r="A14" s="8" t="s">
        <v>26</v>
      </c>
      <c r="B14" s="8">
        <v>4</v>
      </c>
      <c r="C14" s="8">
        <v>148611802.80000001</v>
      </c>
      <c r="D14" s="8"/>
      <c r="E14" s="8"/>
      <c r="F14" s="8"/>
    </row>
    <row r="15" spans="1:9" ht="15" thickBot="1" x14ac:dyDescent="0.35"/>
    <row r="16" spans="1:9" x14ac:dyDescent="0.3">
      <c r="A16" s="9"/>
      <c r="B16" s="9" t="s">
        <v>33</v>
      </c>
      <c r="C16" s="9" t="s">
        <v>21</v>
      </c>
      <c r="D16" s="9" t="s">
        <v>34</v>
      </c>
      <c r="E16" s="9" t="s">
        <v>35</v>
      </c>
      <c r="F16" s="9" t="s">
        <v>36</v>
      </c>
      <c r="G16" s="9" t="s">
        <v>37</v>
      </c>
      <c r="H16" s="9" t="s">
        <v>38</v>
      </c>
      <c r="I16" s="9" t="s">
        <v>39</v>
      </c>
    </row>
    <row r="17" spans="1:9" x14ac:dyDescent="0.3">
      <c r="A17" s="7" t="s">
        <v>27</v>
      </c>
      <c r="B17" s="7">
        <v>-7737135</v>
      </c>
      <c r="C17" s="7">
        <v>389082.69160917442</v>
      </c>
      <c r="D17" s="7">
        <v>-19.8855800241348</v>
      </c>
      <c r="E17" s="7">
        <v>2.7791773944929387E-4</v>
      </c>
      <c r="F17" s="7">
        <v>-8975369.7743614577</v>
      </c>
      <c r="G17" s="7">
        <v>-6498900.2256385423</v>
      </c>
      <c r="H17" s="7">
        <v>-8975369.7743614577</v>
      </c>
      <c r="I17" s="7">
        <v>-6498900.2256385423</v>
      </c>
    </row>
    <row r="18" spans="1:9" ht="15" thickBot="1" x14ac:dyDescent="0.35">
      <c r="A18" s="8" t="s">
        <v>9</v>
      </c>
      <c r="B18" s="8">
        <v>3840.6</v>
      </c>
      <c r="C18" s="8">
        <v>192.32950891633863</v>
      </c>
      <c r="D18" s="8">
        <v>19.968854606032515</v>
      </c>
      <c r="E18" s="8">
        <v>2.7447593158313614E-4</v>
      </c>
      <c r="F18" s="8">
        <v>3228.5216649521681</v>
      </c>
      <c r="G18" s="8">
        <v>4452.6783350478318</v>
      </c>
      <c r="H18" s="8">
        <v>3228.5216649521681</v>
      </c>
      <c r="I18" s="8">
        <v>4452.6783350478318</v>
      </c>
    </row>
    <row r="22" spans="1:9" x14ac:dyDescent="0.3">
      <c r="H22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592E6-D6CC-44CF-A5AE-158FD1560722}">
  <sheetPr>
    <tabColor theme="9"/>
  </sheetPr>
  <dimension ref="A1:M7"/>
  <sheetViews>
    <sheetView showGridLines="0" workbookViewId="0">
      <selection activeCell="B7" sqref="B7"/>
    </sheetView>
  </sheetViews>
  <sheetFormatPr defaultRowHeight="14.4" x14ac:dyDescent="0.3"/>
  <cols>
    <col min="1" max="1" width="20.33203125" customWidth="1"/>
    <col min="2" max="2" width="14.5546875" customWidth="1"/>
    <col min="5" max="5" width="9.5546875" bestFit="1" customWidth="1"/>
  </cols>
  <sheetData>
    <row r="1" spans="1:13" x14ac:dyDescent="0.3">
      <c r="A1" s="1" t="s">
        <v>52</v>
      </c>
      <c r="B1" s="2" t="s">
        <v>53</v>
      </c>
    </row>
    <row r="2" spans="1:13" x14ac:dyDescent="0.3">
      <c r="A2" s="3" t="s">
        <v>51</v>
      </c>
      <c r="B2" s="35">
        <v>445569</v>
      </c>
      <c r="E2" s="21"/>
      <c r="G2" s="21"/>
      <c r="I2" s="12"/>
      <c r="K2" s="21"/>
      <c r="M2" s="21"/>
    </row>
    <row r="3" spans="1:13" x14ac:dyDescent="0.3">
      <c r="A3" s="3" t="s">
        <v>54</v>
      </c>
      <c r="B3" s="31">
        <v>24987</v>
      </c>
      <c r="E3" s="21"/>
      <c r="G3" s="21"/>
      <c r="I3" s="21"/>
      <c r="K3" s="21"/>
      <c r="M3" s="21"/>
    </row>
    <row r="4" spans="1:13" x14ac:dyDescent="0.3">
      <c r="A4" s="3" t="s">
        <v>55</v>
      </c>
      <c r="B4" s="36">
        <v>22635</v>
      </c>
      <c r="E4" s="22"/>
      <c r="G4" s="22"/>
    </row>
    <row r="5" spans="1:13" x14ac:dyDescent="0.3">
      <c r="A5" s="3" t="s">
        <v>56</v>
      </c>
      <c r="B5" s="35">
        <f>B2+B3-B4</f>
        <v>447921</v>
      </c>
    </row>
    <row r="6" spans="1:13" x14ac:dyDescent="0.3">
      <c r="A6" s="3" t="s">
        <v>57</v>
      </c>
      <c r="B6" s="4">
        <v>1714</v>
      </c>
    </row>
    <row r="7" spans="1:13" ht="28.8" x14ac:dyDescent="0.3">
      <c r="A7" s="3" t="s">
        <v>58</v>
      </c>
      <c r="B7" s="34">
        <f>B5/B6</f>
        <v>261.33080513418901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5CE68-5E3F-4905-9CFF-BEACD34B1B72}">
  <sheetPr>
    <tabColor rgb="FF7030A0"/>
  </sheetPr>
  <dimension ref="A1:D16"/>
  <sheetViews>
    <sheetView showGridLines="0" tabSelected="1" zoomScale="98" workbookViewId="0">
      <selection activeCell="N23" sqref="N23"/>
    </sheetView>
  </sheetViews>
  <sheetFormatPr defaultRowHeight="14.4" x14ac:dyDescent="0.3"/>
  <cols>
    <col min="1" max="1" width="30.6640625" customWidth="1"/>
    <col min="2" max="2" width="11.5546875" bestFit="1" customWidth="1"/>
  </cols>
  <sheetData>
    <row r="1" spans="1:4" x14ac:dyDescent="0.3">
      <c r="A1" s="24" t="s">
        <v>60</v>
      </c>
      <c r="B1" s="25"/>
      <c r="C1" s="25"/>
      <c r="D1" s="25"/>
    </row>
    <row r="2" spans="1:4" ht="57.6" x14ac:dyDescent="0.3">
      <c r="A2" s="1" t="s">
        <v>59</v>
      </c>
      <c r="B2" s="15">
        <v>0.02</v>
      </c>
      <c r="C2" s="15">
        <v>0.03</v>
      </c>
      <c r="D2" s="15">
        <v>0.04</v>
      </c>
    </row>
    <row r="3" spans="1:4" x14ac:dyDescent="0.3">
      <c r="A3" s="26">
        <v>0.08</v>
      </c>
      <c r="B3" s="35">
        <v>270.23</v>
      </c>
      <c r="C3" s="35">
        <v>312.58999999999997</v>
      </c>
      <c r="D3" s="35">
        <v>378.12</v>
      </c>
    </row>
    <row r="4" spans="1:4" x14ac:dyDescent="0.3">
      <c r="A4" s="26">
        <v>0.09</v>
      </c>
      <c r="B4" s="35">
        <v>231.61</v>
      </c>
      <c r="C4" s="37">
        <f>'DCF Valuation'!B7</f>
        <v>261.33080513418901</v>
      </c>
      <c r="D4" s="35">
        <v>303.39</v>
      </c>
    </row>
    <row r="5" spans="1:4" x14ac:dyDescent="0.3">
      <c r="A5" s="26">
        <v>0.1</v>
      </c>
      <c r="B5" s="35">
        <v>201.57</v>
      </c>
      <c r="C5" s="35">
        <v>223.48</v>
      </c>
      <c r="D5" s="35">
        <v>252.74</v>
      </c>
    </row>
    <row r="7" spans="1:4" x14ac:dyDescent="0.3">
      <c r="A7" s="17" t="s">
        <v>61</v>
      </c>
    </row>
    <row r="10" spans="1:4" x14ac:dyDescent="0.3">
      <c r="A10" s="23"/>
      <c r="B10" s="23"/>
      <c r="C10" s="23"/>
    </row>
    <row r="11" spans="1:4" x14ac:dyDescent="0.3">
      <c r="A11" s="23"/>
      <c r="B11" s="23"/>
      <c r="C11" s="23"/>
    </row>
    <row r="12" spans="1:4" x14ac:dyDescent="0.3">
      <c r="A12" s="23"/>
      <c r="B12" s="23"/>
      <c r="C12" s="23"/>
    </row>
    <row r="13" spans="1:4" x14ac:dyDescent="0.3">
      <c r="A13" s="23"/>
      <c r="B13" s="23"/>
      <c r="C13" s="23"/>
    </row>
    <row r="14" spans="1:4" x14ac:dyDescent="0.3">
      <c r="A14" s="23"/>
      <c r="B14" s="23"/>
      <c r="C14" s="23"/>
    </row>
    <row r="15" spans="1:4" x14ac:dyDescent="0.3">
      <c r="A15" s="23"/>
      <c r="B15" s="23"/>
      <c r="C15" s="23"/>
    </row>
    <row r="16" spans="1:4" x14ac:dyDescent="0.3">
      <c r="A16" s="23"/>
      <c r="B16" s="23"/>
      <c r="C16" s="23"/>
    </row>
  </sheetData>
  <mergeCells count="1">
    <mergeCell ref="A1:D1"/>
  </mergeCells>
  <conditionalFormatting sqref="B3:D3 B5:D5 B4 D4">
    <cfRule type="colorScale" priority="1">
      <colorScale>
        <cfvo type="min"/>
        <cfvo type="max"/>
        <color rgb="FFFF0000"/>
        <color rgb="FF00B050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Historical Financial Data ($ in</vt:lpstr>
      <vt:lpstr>Ratio &amp; Trend Analysis</vt:lpstr>
      <vt:lpstr>Forecasting</vt:lpstr>
      <vt:lpstr>Output</vt:lpstr>
      <vt:lpstr>DCF Valuation</vt:lpstr>
      <vt:lpstr>Sensitivity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DESINI</dc:creator>
  <cp:lastModifiedBy>ADITYA DESINI</cp:lastModifiedBy>
  <dcterms:created xsi:type="dcterms:W3CDTF">2026-05-31T10:54:31Z</dcterms:created>
  <dcterms:modified xsi:type="dcterms:W3CDTF">2026-05-31T14:52:10Z</dcterms:modified>
</cp:coreProperties>
</file>